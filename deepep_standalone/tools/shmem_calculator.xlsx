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hiro-z/work_space/sgl-kernel-npu/deepep_standalone/tools/"/>
    </mc:Choice>
  </mc:AlternateContent>
  <xr:revisionPtr revIDLastSave="0" documentId="13_ncr:1_{62808ED5-652B-5044-954C-A1936BAA0349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计算器" sheetId="1" r:id="rId1"/>
    <sheet name="反向计算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B27" i="2"/>
  <c r="C26" i="2"/>
  <c r="B26" i="2"/>
  <c r="B25" i="2"/>
  <c r="B19" i="2"/>
  <c r="B18" i="2"/>
  <c r="B17" i="2"/>
  <c r="B28" i="2" s="1"/>
  <c r="C28" i="2" s="1"/>
  <c r="B24" i="1"/>
  <c r="C24" i="1" s="1"/>
  <c r="B23" i="1"/>
  <c r="C23" i="1" s="1"/>
  <c r="B22" i="1"/>
  <c r="C22" i="1" s="1"/>
  <c r="B17" i="1"/>
  <c r="B33" i="1" s="1"/>
  <c r="B15" i="1"/>
  <c r="B32" i="1" s="1"/>
  <c r="B29" i="2" l="1"/>
  <c r="C29" i="2" s="1"/>
  <c r="B30" i="2"/>
  <c r="C30" i="2" s="1"/>
  <c r="B33" i="2"/>
  <c r="B16" i="1"/>
  <c r="B20" i="2"/>
  <c r="C25" i="2"/>
  <c r="B18" i="1" l="1"/>
  <c r="B26" i="1" s="1"/>
  <c r="C26" i="1" s="1"/>
  <c r="B31" i="1"/>
  <c r="B21" i="2"/>
  <c r="B38" i="2" l="1"/>
  <c r="B37" i="2"/>
  <c r="B36" i="2"/>
  <c r="B35" i="2"/>
  <c r="B34" i="2"/>
  <c r="B39" i="2"/>
  <c r="B25" i="1"/>
  <c r="B30" i="1"/>
  <c r="C25" i="1" l="1"/>
  <c r="B27" i="1"/>
  <c r="B35" i="1" l="1"/>
  <c r="B34" i="1"/>
  <c r="C27" i="1"/>
</calcChain>
</file>

<file path=xl/sharedStrings.xml><?xml version="1.0" encoding="utf-8"?>
<sst xmlns="http://schemas.openxmlformats.org/spreadsheetml/2006/main" count="120" uniqueCount="85">
  <si>
    <t>DeepEP Shmem 池容量计算器</t>
  </si>
  <si>
    <t>修改黄色单元格中的值，绿色单元格自动计算结果</t>
  </si>
  <si>
    <t>常量</t>
  </si>
  <si>
    <t>SHMEM_LOCAL_MEM_SIZE (字节)</t>
  </si>
  <si>
    <t>shmem 总池大小 (默认 4GB)</t>
  </si>
  <si>
    <t>SHMEM_META_DATA_SIZE (字节)</t>
  </si>
  <si>
    <t>元数据保留 (默认 100MB)</t>
  </si>
  <si>
    <t>输入参数</t>
  </si>
  <si>
    <t>hidden_size (H)</t>
  </si>
  <si>
    <t>模型隐藏维度, 如 DeepSeek-V3=7168</t>
  </si>
  <si>
    <t>num_experts (E)</t>
  </si>
  <si>
    <t>专家总数, 如 DeepSeek-V3=256</t>
  </si>
  <si>
    <t>world_size (R)</t>
  </si>
  <si>
    <t>EP 并行的 rank 总数</t>
  </si>
  <si>
    <t>use_quant (0或1)</t>
  </si>
  <si>
    <t>0=BF16, 1=FP8/INT8 量化</t>
  </si>
  <si>
    <t>计算过程</t>
  </si>
  <si>
    <t>固定开销 (字节)</t>
  </si>
  <si>
    <t>E × (1 + R) × 4</t>
  </si>
  <si>
    <t>可用空间 (字节)</t>
  </si>
  <si>
    <t>总池 - 元数据 - 固定开销</t>
  </si>
  <si>
    <t>单 token 开销 (字节)</t>
  </si>
  <si>
    <t>H × 2 + (量化 ? 4 : 0)</t>
  </si>
  <si>
    <t>max_recv_tokens</t>
  </si>
  <si>
    <t>可用空间 / 单 token 开销</t>
  </si>
  <si>
    <t>Shmem Tensor 明细</t>
  </si>
  <si>
    <t>Tensor 名称</t>
  </si>
  <si>
    <t>大小 (字节)</t>
  </si>
  <si>
    <t>大小 (MB)</t>
  </si>
  <si>
    <t>说明</t>
  </si>
  <si>
    <t>SHMEM_META_DATA</t>
  </si>
  <si>
    <t>元数据保留区</t>
  </si>
  <si>
    <t>num_tokens_per_expert</t>
  </si>
  <si>
    <t>{E} × kInt</t>
  </si>
  <si>
    <t>dispatch_shmem_recv_data</t>
  </si>
  <si>
    <t>{R, E} × kInt</t>
  </si>
  <si>
    <t>combine_x (=expandx_out)</t>
  </si>
  <si>
    <t>{T, H} × BF16, expandx_out 共享此内存</t>
  </si>
  <si>
    <t>dynamic_scales_out</t>
  </si>
  <si>
    <t>{T} × kFloat, 仅量化时分配</t>
  </si>
  <si>
    <t>合计</t>
  </si>
  <si>
    <t>所有 shmem tensor 总用量</t>
  </si>
  <si>
    <t>结果摘要</t>
  </si>
  <si>
    <t>可用空间 (GB)</t>
  </si>
  <si>
    <t>固定开销 (MB)</t>
  </si>
  <si>
    <t>单 token 开销 (KB)</t>
  </si>
  <si>
    <t>实际总 shmem 用量 (GB)</t>
  </si>
  <si>
    <t>shmem 利用率</t>
  </si>
  <si>
    <t>公式参考</t>
  </si>
  <si>
    <t>fixed_bytes = E × (1 + R) × 4</t>
  </si>
  <si>
    <t>avail_bytes = SHMEM_LOCAL_MEM_SIZE - SHMEM_META_DATA_SIZE - fixed_bytes</t>
  </si>
  <si>
    <t>per_token_bytes = H × 2 + (use_quant ? 4 : 0)</t>
  </si>
  <si>
    <t>max_recv_tokens = ⌊ avail_bytes / per_token_bytes ⌋</t>
  </si>
  <si>
    <t>源码位置: deepep_standalone/csrc/deepep/deep_ep.cpp → Buffer::preallocate_shmem_tensors()</t>
  </si>
  <si>
    <t>SHMEM_LOCAL_MEM_SIZE = 4GB (硬编码常量)</t>
  </si>
  <si>
    <t>SHMEM_META_DATA_SIZE = 100MB (硬编码常量)</t>
  </si>
  <si>
    <t>反向计算器：由 max_recv_tokens 推算所需 shmem 池大小</t>
  </si>
  <si>
    <t>修改黄色单元格中的值，绿色单元格自动计算所需显存池大小</t>
  </si>
  <si>
    <t>模型隐藏维度</t>
  </si>
  <si>
    <t>专家总数</t>
  </si>
  <si>
    <t>seqLen (每卡输入token数)</t>
  </si>
  <si>
    <t>dispatch 输入的序列长度 (每张卡)</t>
  </si>
  <si>
    <t>topk</t>
  </si>
  <si>
    <t>每个 token 路由到的专家数</t>
  </si>
  <si>
    <t>不均匀比例</t>
  </si>
  <si>
    <t>负载不均匀倍数, 1.0=完全均匀, 1.5=最坏比均值多50%</t>
  </si>
  <si>
    <t>max_recv_tokens (估算)</t>
  </si>
  <si>
    <t>seqLen × topk × 不均匀比例</t>
  </si>
  <si>
    <t>数据区所需空间 (字节)</t>
  </si>
  <si>
    <t>max_recv_tokens × per_token</t>
  </si>
  <si>
    <t>所需总池大小 (字节)</t>
  </si>
  <si>
    <t>元数据 + 固定开销 + 数据区</t>
  </si>
  <si>
    <t>估算 max_recv_tokens</t>
  </si>
  <si>
    <t>所需 shmem 池大小 (GB)</t>
  </si>
  <si>
    <t>所需 shmem 池大小 (MB)</t>
  </si>
  <si>
    <t>建议申请量 (GB, 向上取整)</t>
  </si>
  <si>
    <t>固定开销占比</t>
  </si>
  <si>
    <t>元数据占比</t>
  </si>
  <si>
    <t>数据区占比</t>
  </si>
  <si>
    <t>max_recv_tokens = ⌈ seqLen × topk × 不均匀比例 ⌉</t>
  </si>
  <si>
    <t>required_pool = META_SIZE + E×(1+R)×4 + max_recv_tokens × (H×2 + quant×4)</t>
  </si>
  <si>
    <t>不均匀比例说明:</t>
  </si>
  <si>
    <t xml:space="preserve">  1.0 = 完全均匀, 每卡收到 seqLen×topk 个 token</t>
  </si>
  <si>
    <t xml:space="preserve">  1.5 = 最坏情况比均值多 50%</t>
  </si>
  <si>
    <t xml:space="preserve">  2.0 = 最坏情况是均值的 2 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</si>
</sst>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0%"/>
  </numFmts>
  <fonts count="10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i/>
      <sz val="9"/>
      <color rgb="FF808080"/>
      <name val="宋体"/>
      <family val="3"/>
      <charset val="134"/>
    </font>
    <font>
      <b/>
      <sz val="11"/>
      <color rgb="FF4472C4"/>
      <name val="宋体"/>
      <family val="3"/>
      <charset val="134"/>
    </font>
    <font>
      <b/>
      <sz val="12"/>
      <color rgb="FFC00000"/>
      <name val="宋体"/>
      <family val="3"/>
      <charset val="134"/>
    </font>
    <font>
      <b/>
      <sz val="12"/>
      <color rgb="FF006100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0"/>
      <name val="Consolas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horizontal="right" vertical="center"/>
    </xf>
    <xf numFmtId="3" fontId="4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3" fontId="0" fillId="3" borderId="2" xfId="0" applyNumberForma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176" fontId="0" fillId="0" borderId="2" xfId="0" applyNumberFormat="1" applyBorder="1"/>
    <xf numFmtId="0" fontId="7" fillId="0" borderId="2" xfId="0" applyFont="1" applyBorder="1"/>
    <xf numFmtId="176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8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13" sqref="B13"/>
    </sheetView>
  </sheetViews>
  <sheetFormatPr baseColWidth="10" defaultColWidth="8.83203125" defaultRowHeight="14"/>
  <cols>
    <col min="1" max="2" width="22" customWidth="1"/>
    <col min="3" max="3" width="18" customWidth="1"/>
    <col min="4" max="4" width="50" customWidth="1"/>
  </cols>
  <sheetData>
    <row r="1" spans="1:4" ht="17">
      <c r="A1" s="17" t="s">
        <v>0</v>
      </c>
      <c r="B1" s="18"/>
      <c r="C1" s="18"/>
      <c r="D1" s="18"/>
    </row>
    <row r="2" spans="1:4">
      <c r="A2" s="20" t="s">
        <v>1</v>
      </c>
      <c r="B2" s="18"/>
      <c r="C2" s="18"/>
      <c r="D2" s="18"/>
    </row>
    <row r="4" spans="1:4">
      <c r="A4" s="1" t="s">
        <v>2</v>
      </c>
    </row>
    <row r="5" spans="1:4" ht="15">
      <c r="A5" s="2" t="s">
        <v>3</v>
      </c>
      <c r="B5" s="3">
        <v>4294967296</v>
      </c>
      <c r="D5" s="4" t="s">
        <v>4</v>
      </c>
    </row>
    <row r="6" spans="1:4" ht="15">
      <c r="A6" s="2" t="s">
        <v>5</v>
      </c>
      <c r="B6" s="3">
        <v>104857600</v>
      </c>
      <c r="D6" s="4" t="s">
        <v>6</v>
      </c>
    </row>
    <row r="8" spans="1:4">
      <c r="A8" s="1" t="s">
        <v>7</v>
      </c>
    </row>
    <row r="9" spans="1:4" ht="15">
      <c r="A9" s="2" t="s">
        <v>8</v>
      </c>
      <c r="B9" s="3">
        <v>6144</v>
      </c>
      <c r="D9" s="4" t="s">
        <v>9</v>
      </c>
    </row>
    <row r="10" spans="1:4" ht="15">
      <c r="A10" s="2" t="s">
        <v>10</v>
      </c>
      <c r="B10" s="3">
        <v>256</v>
      </c>
      <c r="D10" s="4" t="s">
        <v>11</v>
      </c>
    </row>
    <row r="11" spans="1:4" ht="15">
      <c r="A11" s="2" t="s">
        <v>12</v>
      </c>
      <c r="B11" s="3">
        <v>16</v>
      </c>
      <c r="D11" s="4" t="s">
        <v>13</v>
      </c>
    </row>
    <row r="12" spans="1:4" ht="15">
      <c r="A12" s="2" t="s">
        <v>14</v>
      </c>
      <c r="B12" s="3">
        <v>1</v>
      </c>
      <c r="D12" s="4" t="s">
        <v>15</v>
      </c>
    </row>
    <row r="14" spans="1:4">
      <c r="A14" s="1" t="s">
        <v>16</v>
      </c>
    </row>
    <row r="15" spans="1:4">
      <c r="A15" s="2" t="s">
        <v>17</v>
      </c>
      <c r="B15" s="5">
        <f>B10*(1+B11)*4</f>
        <v>17408</v>
      </c>
      <c r="C15" s="4" t="s">
        <v>18</v>
      </c>
    </row>
    <row r="16" spans="1:4">
      <c r="A16" s="2" t="s">
        <v>19</v>
      </c>
      <c r="B16" s="5">
        <f>B5-B6-B15</f>
        <v>4190092288</v>
      </c>
      <c r="C16" s="4" t="s">
        <v>20</v>
      </c>
    </row>
    <row r="17" spans="1:4">
      <c r="A17" s="2" t="s">
        <v>21</v>
      </c>
      <c r="B17" s="5">
        <f>B9*2+B12*4</f>
        <v>12292</v>
      </c>
      <c r="C17" s="4" t="s">
        <v>22</v>
      </c>
    </row>
    <row r="18" spans="1:4" ht="15">
      <c r="A18" s="2" t="s">
        <v>23</v>
      </c>
      <c r="B18" s="6">
        <f>INT(B16/B17)</f>
        <v>340879</v>
      </c>
      <c r="C18" s="4" t="s">
        <v>24</v>
      </c>
    </row>
    <row r="20" spans="1:4">
      <c r="A20" s="1" t="s">
        <v>25</v>
      </c>
    </row>
    <row r="21" spans="1:4" ht="15">
      <c r="A21" s="7" t="s">
        <v>26</v>
      </c>
      <c r="B21" s="7" t="s">
        <v>27</v>
      </c>
      <c r="C21" s="7" t="s">
        <v>28</v>
      </c>
      <c r="D21" s="7" t="s">
        <v>29</v>
      </c>
    </row>
    <row r="22" spans="1:4">
      <c r="A22" s="8" t="s">
        <v>30</v>
      </c>
      <c r="B22" s="9">
        <f>B6</f>
        <v>104857600</v>
      </c>
      <c r="C22" s="10">
        <f t="shared" ref="C22:C27" si="0">B22/1024/1024</f>
        <v>100</v>
      </c>
      <c r="D22" s="8" t="s">
        <v>31</v>
      </c>
    </row>
    <row r="23" spans="1:4">
      <c r="A23" s="8" t="s">
        <v>32</v>
      </c>
      <c r="B23" s="9">
        <f>B10*4</f>
        <v>1024</v>
      </c>
      <c r="C23" s="10">
        <f t="shared" si="0"/>
        <v>9.765625E-4</v>
      </c>
      <c r="D23" s="8" t="s">
        <v>33</v>
      </c>
    </row>
    <row r="24" spans="1:4">
      <c r="A24" s="8" t="s">
        <v>34</v>
      </c>
      <c r="B24" s="9">
        <f>B11*B10*4</f>
        <v>16384</v>
      </c>
      <c r="C24" s="10">
        <f t="shared" si="0"/>
        <v>1.5625E-2</v>
      </c>
      <c r="D24" s="8" t="s">
        <v>35</v>
      </c>
    </row>
    <row r="25" spans="1:4">
      <c r="A25" s="8" t="s">
        <v>36</v>
      </c>
      <c r="B25" s="9">
        <f>B18*B9*2</f>
        <v>4188721152</v>
      </c>
      <c r="C25" s="10">
        <f t="shared" si="0"/>
        <v>3994.67578125</v>
      </c>
      <c r="D25" s="8" t="s">
        <v>37</v>
      </c>
    </row>
    <row r="26" spans="1:4">
      <c r="A26" s="8" t="s">
        <v>38</v>
      </c>
      <c r="B26" s="9">
        <f>IF(B12=1, B18*4, 0)</f>
        <v>1363516</v>
      </c>
      <c r="C26" s="10">
        <f t="shared" si="0"/>
        <v>1.3003501892089844</v>
      </c>
      <c r="D26" s="8" t="s">
        <v>39</v>
      </c>
    </row>
    <row r="27" spans="1:4" ht="15">
      <c r="A27" s="11" t="s">
        <v>40</v>
      </c>
      <c r="B27" s="6">
        <f>SUM(B22:B26)</f>
        <v>4294959676</v>
      </c>
      <c r="C27" s="12">
        <f t="shared" si="0"/>
        <v>4095.992733001709</v>
      </c>
      <c r="D27" s="8" t="s">
        <v>41</v>
      </c>
    </row>
    <row r="29" spans="1:4">
      <c r="A29" s="1" t="s">
        <v>42</v>
      </c>
    </row>
    <row r="30" spans="1:4" ht="15">
      <c r="A30" s="2" t="s">
        <v>23</v>
      </c>
      <c r="B30" s="6">
        <f>B18</f>
        <v>340879</v>
      </c>
    </row>
    <row r="31" spans="1:4" ht="15">
      <c r="A31" s="2" t="s">
        <v>43</v>
      </c>
      <c r="B31" s="12">
        <f>B16/1024/1024/1024</f>
        <v>3.9023275375366211</v>
      </c>
    </row>
    <row r="32" spans="1:4" ht="15">
      <c r="A32" s="2" t="s">
        <v>44</v>
      </c>
      <c r="B32" s="12">
        <f>B15/1024/1024</f>
        <v>1.66015625E-2</v>
      </c>
    </row>
    <row r="33" spans="1:4" ht="15">
      <c r="A33" s="2" t="s">
        <v>45</v>
      </c>
      <c r="B33" s="12">
        <f>B17/1024</f>
        <v>12.00390625</v>
      </c>
    </row>
    <row r="34" spans="1:4" ht="15">
      <c r="A34" s="2" t="s">
        <v>46</v>
      </c>
      <c r="B34" s="12">
        <f>B27/1024/1024/1024</f>
        <v>3.9999929033219814</v>
      </c>
    </row>
    <row r="35" spans="1:4" ht="15">
      <c r="A35" s="2" t="s">
        <v>47</v>
      </c>
      <c r="B35" s="13">
        <f>B27/B5</f>
        <v>0.99999822583049536</v>
      </c>
    </row>
    <row r="37" spans="1:4">
      <c r="A37" s="1" t="s">
        <v>48</v>
      </c>
    </row>
    <row r="38" spans="1:4" ht="15">
      <c r="A38" s="19" t="s">
        <v>49</v>
      </c>
      <c r="B38" s="18"/>
      <c r="C38" s="18"/>
      <c r="D38" s="18"/>
    </row>
    <row r="39" spans="1:4" ht="15">
      <c r="A39" s="19" t="s">
        <v>50</v>
      </c>
      <c r="B39" s="18"/>
      <c r="C39" s="18"/>
      <c r="D39" s="18"/>
    </row>
    <row r="40" spans="1:4" ht="15">
      <c r="A40" s="19" t="s">
        <v>51</v>
      </c>
      <c r="B40" s="18"/>
      <c r="C40" s="18"/>
      <c r="D40" s="18"/>
    </row>
    <row r="41" spans="1:4" ht="15">
      <c r="A41" s="19" t="s">
        <v>52</v>
      </c>
      <c r="B41" s="18"/>
      <c r="C41" s="18"/>
      <c r="D41" s="18"/>
    </row>
    <row r="42" spans="1:4" ht="15">
      <c r="A42" s="19"/>
      <c r="B42" s="18"/>
      <c r="C42" s="18"/>
      <c r="D42" s="18"/>
    </row>
    <row r="43" spans="1:4" ht="15">
      <c r="A43" s="19" t="s">
        <v>53</v>
      </c>
      <c r="B43" s="18"/>
      <c r="C43" s="18"/>
      <c r="D43" s="18"/>
    </row>
    <row r="44" spans="1:4" ht="15">
      <c r="A44" s="19" t="s">
        <v>54</v>
      </c>
      <c r="B44" s="18"/>
      <c r="C44" s="18"/>
      <c r="D44" s="18"/>
    </row>
    <row r="45" spans="1:4" ht="15">
      <c r="A45" s="19" t="s">
        <v>55</v>
      </c>
      <c r="B45" s="18"/>
      <c r="C45" s="18"/>
      <c r="D45" s="18"/>
    </row>
  </sheetData>
  <mergeCells count="10">
    <mergeCell ref="A1:D1"/>
    <mergeCell ref="A40:D40"/>
    <mergeCell ref="A45:D45"/>
    <mergeCell ref="A38:D38"/>
    <mergeCell ref="A39:D39"/>
    <mergeCell ref="A43:D43"/>
    <mergeCell ref="A41:D41"/>
    <mergeCell ref="A2:D2"/>
    <mergeCell ref="A42:D42"/>
    <mergeCell ref="A44:D44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>
      <selection activeCell="B15" sqref="B15"/>
    </sheetView>
  </sheetViews>
  <sheetFormatPr baseColWidth="10" defaultColWidth="8.83203125" defaultRowHeight="14"/>
  <cols>
    <col min="1" max="1" width="28" customWidth="1"/>
    <col min="2" max="2" width="24" customWidth="1"/>
    <col min="3" max="3" width="18" customWidth="1"/>
    <col min="4" max="4" width="50" customWidth="1"/>
  </cols>
  <sheetData>
    <row r="1" spans="1:4" ht="17">
      <c r="A1" s="17" t="s">
        <v>56</v>
      </c>
      <c r="B1" s="18"/>
      <c r="C1" s="18"/>
      <c r="D1" s="18"/>
    </row>
    <row r="2" spans="1:4">
      <c r="A2" s="20" t="s">
        <v>57</v>
      </c>
      <c r="B2" s="18"/>
      <c r="C2" s="18"/>
      <c r="D2" s="18"/>
    </row>
    <row r="4" spans="1:4">
      <c r="A4" s="1" t="s">
        <v>2</v>
      </c>
    </row>
    <row r="5" spans="1:4" ht="15">
      <c r="A5" s="2" t="s">
        <v>5</v>
      </c>
      <c r="B5" s="3">
        <v>104857600</v>
      </c>
      <c r="D5" s="4" t="s">
        <v>6</v>
      </c>
    </row>
    <row r="7" spans="1:4">
      <c r="A7" s="1" t="s">
        <v>7</v>
      </c>
    </row>
    <row r="8" spans="1:4" ht="15">
      <c r="A8" s="2" t="s">
        <v>8</v>
      </c>
      <c r="B8" s="3">
        <v>6144</v>
      </c>
      <c r="D8" s="4" t="s">
        <v>58</v>
      </c>
    </row>
    <row r="9" spans="1:4" ht="15">
      <c r="A9" s="2" t="s">
        <v>10</v>
      </c>
      <c r="B9" s="3">
        <v>256</v>
      </c>
      <c r="D9" s="4" t="s">
        <v>59</v>
      </c>
    </row>
    <row r="10" spans="1:4" ht="15">
      <c r="A10" s="2" t="s">
        <v>12</v>
      </c>
      <c r="B10" s="3">
        <v>16</v>
      </c>
      <c r="D10" s="4" t="s">
        <v>13</v>
      </c>
    </row>
    <row r="11" spans="1:4" ht="15">
      <c r="A11" s="2" t="s">
        <v>14</v>
      </c>
      <c r="B11" s="3">
        <v>1</v>
      </c>
      <c r="D11" s="4" t="s">
        <v>15</v>
      </c>
    </row>
    <row r="12" spans="1:4" ht="15">
      <c r="A12" s="2" t="s">
        <v>60</v>
      </c>
      <c r="B12" s="3">
        <v>4096</v>
      </c>
      <c r="D12" s="4" t="s">
        <v>61</v>
      </c>
    </row>
    <row r="13" spans="1:4" ht="15">
      <c r="A13" s="2" t="s">
        <v>62</v>
      </c>
      <c r="B13" s="3">
        <v>8</v>
      </c>
      <c r="D13" s="4" t="s">
        <v>63</v>
      </c>
    </row>
    <row r="14" spans="1:4" ht="15">
      <c r="A14" s="2" t="s">
        <v>64</v>
      </c>
      <c r="B14" s="14">
        <v>8</v>
      </c>
      <c r="D14" s="4" t="s">
        <v>65</v>
      </c>
    </row>
    <row r="16" spans="1:4">
      <c r="A16" s="1" t="s">
        <v>16</v>
      </c>
    </row>
    <row r="17" spans="1:4" ht="15">
      <c r="A17" s="2" t="s">
        <v>66</v>
      </c>
      <c r="B17" s="6">
        <f>CEILING(B12*B13*B14, 1)</f>
        <v>262144</v>
      </c>
      <c r="C17" s="4" t="s">
        <v>67</v>
      </c>
    </row>
    <row r="18" spans="1:4">
      <c r="A18" s="2" t="s">
        <v>17</v>
      </c>
      <c r="B18" s="5">
        <f>B9*(1+B10)*4</f>
        <v>17408</v>
      </c>
      <c r="C18" s="4" t="s">
        <v>18</v>
      </c>
    </row>
    <row r="19" spans="1:4">
      <c r="A19" s="2" t="s">
        <v>21</v>
      </c>
      <c r="B19" s="5">
        <f>B8*2+B11*4</f>
        <v>12292</v>
      </c>
      <c r="C19" s="4" t="s">
        <v>22</v>
      </c>
    </row>
    <row r="20" spans="1:4">
      <c r="A20" s="2" t="s">
        <v>68</v>
      </c>
      <c r="B20" s="5">
        <f>B17*B19</f>
        <v>3222274048</v>
      </c>
      <c r="C20" s="4" t="s">
        <v>69</v>
      </c>
    </row>
    <row r="21" spans="1:4" ht="15">
      <c r="A21" s="2" t="s">
        <v>70</v>
      </c>
      <c r="B21" s="6">
        <f>B5+B18+B20</f>
        <v>3327149056</v>
      </c>
      <c r="C21" s="4" t="s">
        <v>71</v>
      </c>
    </row>
    <row r="23" spans="1:4">
      <c r="A23" s="1" t="s">
        <v>25</v>
      </c>
    </row>
    <row r="24" spans="1:4" ht="15">
      <c r="A24" s="7" t="s">
        <v>26</v>
      </c>
      <c r="B24" s="7" t="s">
        <v>27</v>
      </c>
      <c r="C24" s="7" t="s">
        <v>28</v>
      </c>
      <c r="D24" s="7" t="s">
        <v>29</v>
      </c>
    </row>
    <row r="25" spans="1:4">
      <c r="A25" s="8" t="s">
        <v>30</v>
      </c>
      <c r="B25" s="9">
        <f>B5</f>
        <v>104857600</v>
      </c>
      <c r="C25" s="10">
        <f t="shared" ref="C25:C30" si="0">B25/1024/1024</f>
        <v>100</v>
      </c>
      <c r="D25" s="8" t="s">
        <v>31</v>
      </c>
    </row>
    <row r="26" spans="1:4">
      <c r="A26" s="8" t="s">
        <v>32</v>
      </c>
      <c r="B26" s="9">
        <f>B9*4</f>
        <v>1024</v>
      </c>
      <c r="C26" s="10">
        <f t="shared" si="0"/>
        <v>9.765625E-4</v>
      </c>
      <c r="D26" s="8" t="s">
        <v>33</v>
      </c>
    </row>
    <row r="27" spans="1:4">
      <c r="A27" s="8" t="s">
        <v>34</v>
      </c>
      <c r="B27" s="9">
        <f>B10*B9*4</f>
        <v>16384</v>
      </c>
      <c r="C27" s="10">
        <f t="shared" si="0"/>
        <v>1.5625E-2</v>
      </c>
      <c r="D27" s="8" t="s">
        <v>35</v>
      </c>
    </row>
    <row r="28" spans="1:4">
      <c r="A28" s="8" t="s">
        <v>36</v>
      </c>
      <c r="B28" s="9">
        <f>B17*B8*2</f>
        <v>3221225472</v>
      </c>
      <c r="C28" s="10">
        <f t="shared" si="0"/>
        <v>3072</v>
      </c>
      <c r="D28" s="8" t="s">
        <v>37</v>
      </c>
    </row>
    <row r="29" spans="1:4">
      <c r="A29" s="8" t="s">
        <v>38</v>
      </c>
      <c r="B29" s="9">
        <f>IF(B11=1, B17*4, 0)</f>
        <v>1048576</v>
      </c>
      <c r="C29" s="10">
        <f t="shared" si="0"/>
        <v>1</v>
      </c>
      <c r="D29" s="8" t="s">
        <v>39</v>
      </c>
    </row>
    <row r="30" spans="1:4" ht="15">
      <c r="A30" s="11" t="s">
        <v>40</v>
      </c>
      <c r="B30" s="6">
        <f>SUM(B25:B29)</f>
        <v>3327149056</v>
      </c>
      <c r="C30" s="12">
        <f t="shared" si="0"/>
        <v>3173.0166015625</v>
      </c>
      <c r="D30" s="8" t="s">
        <v>41</v>
      </c>
    </row>
    <row r="32" spans="1:4">
      <c r="A32" s="1" t="s">
        <v>42</v>
      </c>
    </row>
    <row r="33" spans="1:4" ht="15">
      <c r="A33" s="2" t="s">
        <v>72</v>
      </c>
      <c r="B33" s="6">
        <f>B17</f>
        <v>262144</v>
      </c>
    </row>
    <row r="34" spans="1:4" ht="15">
      <c r="A34" s="2" t="s">
        <v>73</v>
      </c>
      <c r="B34" s="12">
        <f>B21/1024/1024/1024</f>
        <v>3.0986490249633789</v>
      </c>
    </row>
    <row r="35" spans="1:4" ht="15">
      <c r="A35" s="2" t="s">
        <v>74</v>
      </c>
      <c r="B35" s="12">
        <f>B21/1024/1024</f>
        <v>3173.0166015625</v>
      </c>
    </row>
    <row r="36" spans="1:4" ht="15">
      <c r="A36" s="2" t="s">
        <v>75</v>
      </c>
      <c r="B36" s="15">
        <f>CEILING(B21/1024/1024/1024, 0.5)</f>
        <v>3.5</v>
      </c>
    </row>
    <row r="37" spans="1:4" ht="15">
      <c r="A37" s="2" t="s">
        <v>76</v>
      </c>
      <c r="B37" s="16">
        <f>B18/B21</f>
        <v>5.2321070402924563E-6</v>
      </c>
    </row>
    <row r="38" spans="1:4" ht="15">
      <c r="A38" s="2" t="s">
        <v>77</v>
      </c>
      <c r="B38" s="13">
        <f>B5/B21</f>
        <v>3.1515750642702796E-2</v>
      </c>
    </row>
    <row r="39" spans="1:4" ht="15">
      <c r="A39" s="2" t="s">
        <v>78</v>
      </c>
      <c r="B39" s="13">
        <f>B20/B21</f>
        <v>0.96847901725025687</v>
      </c>
    </row>
    <row r="41" spans="1:4">
      <c r="A41" s="1" t="s">
        <v>48</v>
      </c>
    </row>
    <row r="42" spans="1:4" ht="15">
      <c r="A42" s="19" t="s">
        <v>79</v>
      </c>
      <c r="B42" s="18"/>
      <c r="C42" s="18"/>
      <c r="D42" s="18"/>
    </row>
    <row r="43" spans="1:4" ht="15">
      <c r="A43" s="19" t="s">
        <v>80</v>
      </c>
      <c r="B43" s="18"/>
      <c r="C43" s="18"/>
      <c r="D43" s="18"/>
    </row>
    <row r="44" spans="1:4" ht="15">
      <c r="A44" s="19"/>
      <c r="B44" s="18"/>
      <c r="C44" s="18"/>
      <c r="D44" s="18"/>
    </row>
    <row r="45" spans="1:4" ht="15">
      <c r="A45" s="19" t="s">
        <v>81</v>
      </c>
      <c r="B45" s="18"/>
      <c r="C45" s="18"/>
      <c r="D45" s="18"/>
    </row>
    <row r="46" spans="1:4" ht="15">
      <c r="A46" s="19" t="s">
        <v>82</v>
      </c>
      <c r="B46" s="18"/>
      <c r="C46" s="18"/>
      <c r="D46" s="18"/>
    </row>
    <row r="47" spans="1:4" ht="15">
      <c r="A47" s="19" t="s">
        <v>83</v>
      </c>
      <c r="B47" s="18"/>
      <c r="C47" s="18"/>
      <c r="D47" s="18"/>
    </row>
    <row r="48" spans="1:4" ht="15">
      <c r="A48" s="19" t="s">
        <v>84</v>
      </c>
      <c r="B48" s="18"/>
      <c r="C48" s="18"/>
      <c r="D48" s="18"/>
    </row>
  </sheetData>
  <mergeCells count="9">
    <mergeCell ref="A1:D1"/>
    <mergeCell ref="A45:D45"/>
    <mergeCell ref="A48:D48"/>
    <mergeCell ref="A43:D43"/>
    <mergeCell ref="A2:D2"/>
    <mergeCell ref="A47:D47"/>
    <mergeCell ref="A42:D42"/>
    <mergeCell ref="A46:D46"/>
    <mergeCell ref="A44:D44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计算器</vt:lpstr>
      <vt:lpstr>反向计算器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2026-03-28T07:16:42Z</dcterms:created>
  <dcterms:modified xsi:type="dcterms:W3CDTF">2026-03-28T07:20:35Z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2026-03-28T07:20:35Z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5872e4aa-3474-4c6f-807a-ff87783a86f6</vt:lpwstr>
  </property>
  <property fmtid="{D5CDD505-2E9C-101B-9397-08002B2CF9AE}" pid="7" name="MSIP_Label_defa4170-0d19-0005-0004-bc88714345d2_ActionId">
    <vt:lpwstr>aebff01c-fa69-47bd-b721-061b7d2bf1c2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